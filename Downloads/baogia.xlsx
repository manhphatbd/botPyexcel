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o-g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<sst xmlns="http://schemas.openxmlformats.org/spreadsheetml/2006/main" count="260" uniqueCount="68">
  <si>
    <t xml:space="preserve">                                                             CÔNG TY TNHH CƠ ĐIỆN MẠNH PHÁT</t>
  </si>
  <si>
    <t xml:space="preserve">Văn phòng: Số 51, Đường ĐT744, Khu Phố Phú Thứ, Phường Phú An, Thành Phố Hồ Chí Minh
MST: 3703371148 - Điện thoại:  0945 79 25 73
Email: congtytnhhcodienmanhphat@gmail.comWebsite: www.cameramattroi.com                      </t>
  </si>
  <si>
    <t xml:space="preserve">Số: 16032026/MP-BG</t>
  </si>
  <si>
    <t xml:space="preserve">Người gửi: Nguyễn Văn Sang</t>
  </si>
  <si>
    <t xml:space="preserve">LẮP ĐẶT HỆ THỐNG ĐIỆN NĂNG LƯỢNG MẶT TRỜI BÁM TẢI</t>
  </si>
  <si>
    <t xml:space="preserve">Điện thoại: 0934.181.151</t>
  </si>
  <si>
    <t xml:space="preserve">Địa chỉ:</t>
  </si>
  <si>
    <r>
      <rPr>
        <b val="true"/>
        <sz val="12"/>
        <color theme="1"/>
        <rFont val="Times New Roman"/>
        <family val="0"/>
        <charset val="1"/>
      </rPr>
      <t xml:space="preserve">Email: minhsangmotor@</t>
    </r>
    <r>
      <rPr>
        <sz val="12"/>
        <color theme="1"/>
        <rFont val="Times New Roman"/>
        <family val="0"/>
        <charset val="1"/>
      </rPr>
      <t xml:space="preserve">gmail</t>
    </r>
    <r>
      <rPr>
        <b val="true"/>
        <sz val="12"/>
        <color theme="1"/>
        <rFont val="Times New Roman"/>
        <family val="0"/>
        <charset val="1"/>
      </rPr>
      <t xml:space="preserve">.com</t>
    </r>
  </si>
  <si>
    <t xml:space="preserve">Điện thoại:                     - Fax:  </t>
  </si>
  <si>
    <t xml:space="preserve">Chức vụ: Chuyên Viên Kinh Doanh</t>
  </si>
  <si>
    <t xml:space="preserve">Người nhận: Khách Hàng </t>
  </si>
  <si>
    <t xml:space="preserve">Công ty TNHH Cơ Điện Mạnh Phát trân trọng báo gía hệ thống điện năng lượng mặt trời như sau:
- Công suất tấm pin: 48,620 kWp
- Công suất inverter: 50 kW 3 phase
</t>
  </si>
  <si>
    <t xml:space="preserve">STT</t>
  </si>
  <si>
    <t xml:space="preserve">Tên hạng mục</t>
  </si>
  <si>
    <t xml:space="preserve">Đvt</t>
  </si>
  <si>
    <t xml:space="preserve">Mã hiệu/Mô tả</t>
  </si>
  <si>
    <t xml:space="preserve">Xuất xứ</t>
  </si>
  <si>
    <t xml:space="preserve">Bảo Hành</t>
  </si>
  <si>
    <t xml:space="preserve">Số lượng</t>
  </si>
  <si>
    <t xml:space="preserve">Đơn giá</t>
  </si>
  <si>
    <t xml:space="preserve">Thành tiền</t>
  </si>
  <si>
    <t xml:space="preserve">Ghi chú</t>
  </si>
  <si>
    <t xml:space="preserve">  </t>
  </si>
  <si>
    <t xml:space="preserve">Nguyễn tấn long</t>
  </si>
  <si>
    <t xml:space="preserve">cái</t>
  </si>
  <si>
    <t xml:space="preserve">vn</t>
  </si>
  <si>
    <t xml:space="preserve">Nguyễn Văn Sang</t>
  </si>
  <si>
    <t xml:space="preserve">Cái</t>
  </si>
  <si>
    <t xml:space="preserve">Nguyễn Tấn CàPhê</t>
  </si>
  <si>
    <t xml:space="preserve">Con</t>
  </si>
  <si>
    <t xml:space="preserve">Mạnh Phát</t>
  </si>
  <si>
    <t xml:space="preserve">Tổng Thanh Toán</t>
  </si>
  <si>
    <t xml:space="preserve">Bằng Chữ: Hai trăm tám mươi ba triệu bảy trăm năm mươi sáu nghìn đồng.</t>
  </si>
  <si>
    <t xml:space="preserve">###DATA_END###</t>
  </si>
  <si>
    <t xml:space="preserve">Lưu ý</t>
  </si>
  <si>
    <t xml:space="preserve">- Xuất xứ hàng hóa</t>
  </si>
  <si>
    <t xml:space="preserve">- Hàng mới 100%, xuất xứ chính hãng đi kèm CO, CQ, đã bao gồm VAT 8%</t>
  </si>
  <si>
    <t xml:space="preserve">- Cam kết không sử dụng hàng hóa không đảm bảo chất lượng</t>
  </si>
  <si>
    <t xml:space="preserve">- Thời gian  thi công</t>
  </si>
  <si>
    <t xml:space="preserve">- Thời gian thi công: Trong vòng 5-7 ngày sau tập kết vật tư, bao gồm triển khai lắp dựng đến vận hành chạy thử</t>
  </si>
  <si>
    <t xml:space="preserve">(không bao gồm ngày lễ và ngày chủ nhật) </t>
  </si>
  <si>
    <t xml:space="preserve">- Xử lý sự cố</t>
  </si>
  <si>
    <t xml:space="preserve">- Quy trình xử lý sự cố trong điều kiện bảo hành nếu có phát sinh trong vận hành:</t>
  </si>
  <si>
    <t xml:space="preserve">+ Hướng dẫn xử lý từ xa đối với các lỗi có thể khắc phục được</t>
  </si>
  <si>
    <t xml:space="preserve">+ Xử lý trực tiếp tại công trình trong vòng 24 giờ kể từ khi phát sinh lỗi</t>
  </si>
  <si>
    <t xml:space="preserve">- Biện pháp thi công</t>
  </si>
  <si>
    <t xml:space="preserve">- Tấm PV được lắp đặt trên hệ khung nhôm, liên kết tấm pin bằng kẹp nhôm chuyên dụng. </t>
  </si>
  <si>
    <t xml:space="preserve">- Inverter và tủ điện chính được đặt ở vị trí gầm cầu thang, gần tủ điện tổng</t>
  </si>
  <si>
    <t xml:space="preserve">- Dây điện DC - AC được đi trong ống ruột gà lõi sắt bọc nhựa</t>
  </si>
  <si>
    <t xml:space="preserve">- Điểm khác biệt:</t>
  </si>
  <si>
    <t xml:space="preserve">- Lãi suất trả góp 0% bởi Quỹ  năng lượng sạch Stride cho kì 6 tháng.</t>
  </si>
  <si>
    <t xml:space="preserve">- Miễn phí 01 năm bảo hiểm vật chất, cháy nổ, thiên tai.</t>
  </si>
  <si>
    <t xml:space="preserve">- Sau khi thi công, Quĩ năng lượng sạch sẽ kiểm tra nghiệm thu đảm bảo chất lượng dự án.</t>
  </si>
  <si>
    <t xml:space="preserve">- Không cần chứng minh thu nhập, thế chấp tài sản.</t>
  </si>
  <si>
    <t xml:space="preserve">- Điều kiện thanh toán:</t>
  </si>
  <si>
    <t xml:space="preserve">+ Đợt 1: Thanh toán 50% ngay sau xác nhận và ký kết hợp đồng lắp đặt</t>
  </si>
  <si>
    <t xml:space="preserve">+ Đợt 2: Thanh toán 50% còn lại sau khi hoàn thành và nghiệm thu </t>
  </si>
  <si>
    <t xml:space="preserve">1/ Chúng tôi không sử dụng hàng hóa không rõ nguồn gốc xuất xứ, hàng tái sử dụng.</t>
  </si>
  <si>
    <t xml:space="preserve">2/ Chúng tôi cung cấp đúng chất lượng dịch vụ, sản phẩm ở mức giá đã báo.</t>
  </si>
  <si>
    <t xml:space="preserve">3/ Chúng tôi tư vấn trung thực, duy trì thái độ tích cực và hỗ trợ đối với khách hàng thật sự có nhu cầu.</t>
  </si>
  <si>
    <t xml:space="preserve">4/ Chúng tôi chính trực và coi trọng các đối tác thanh toán đúng hạn.</t>
  </si>
  <si>
    <t xml:space="preserve">5/ Chúng tôi sẵn sàng tiếp thu, giải quyết các khiếu nại trên tinh thần công bằng và có tài liệu chứng minh rõ ràng.</t>
  </si>
  <si>
    <t xml:space="preserve">Hiệu lực báo giá có giá trị trong vòng 1 tuần kể từ ngày báo giá</t>
  </si>
  <si>
    <t xml:space="preserve">Công ty chúng tôi rất hân hạnh được phục vụ quý khách.</t>
  </si>
  <si>
    <t xml:space="preserve">Xin chân thành cảm ơn!</t>
  </si>
  <si>
    <t xml:space="preserve">XÁC NHẬN KHÁCH HÀNG</t>
  </si>
  <si>
    <t xml:space="preserve">XÁC NHẬN BÁO GIÁ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</si>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</sst>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_(* #,##0_);_(* \(#,##0\);_(* \-_);_(@_)"/>
    <numFmt numFmtId="167" formatCode="@"/>
    <numFmt numFmtId="168" formatCode="#,##0.00"/>
    <numFmt numFmtId="169" formatCode="0%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Times New Roman"/>
      <family val="0"/>
      <charset val="1"/>
    </font>
    <font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3"/>
      <color theme="1"/>
      <name val="Times New Roman"/>
      <family val="0"/>
      <charset val="1"/>
    </font>
    <font>
      <b val="true"/>
      <sz val="10"/>
      <color rgb="FF000000"/>
      <name val="Arial"/>
      <family val="0"/>
      <charset val="1"/>
    </font>
    <font>
      <sz val="12"/>
      <color theme="1"/>
      <name val="Times New Roman"/>
      <family val="1"/>
      <charset val="1"/>
    </font>
    <font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Arial"/>
      <family val="0"/>
      <charset val="1"/>
    </font>
    <font>
      <b val="true"/>
      <i val="true"/>
      <sz val="12"/>
      <color theme="1"/>
      <name val="Times New Roman"/>
      <family val="0"/>
      <charset val="1"/>
    </font>
    <font>
      <b val="true"/>
      <sz val="12"/>
      <color rgb="FF000000"/>
      <name val="Arial"/>
      <family val="2"/>
      <charset val="1"/>
    </font>
    <font>
      <sz val="12"/>
      <color theme="1"/>
      <name val="Times New Roman"/>
      <family val="0"/>
    </font>
    <font>
      <b val="true"/>
      <sz val="12"/>
      <color theme="1"/>
      <name val="Arial"/>
      <family val="0"/>
      <charset val="1"/>
    </font>
    <font>
      <b val="true"/>
      <sz val="11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7" fillId="2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21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23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942840</xdr:colOff>
      <xdr:row>0</xdr:row>
      <xdr:rowOff>152280</xdr:rowOff>
    </xdr:from>
    <xdr:to>
      <xdr:col>1</xdr:col>
      <xdr:colOff>2321640</xdr:colOff>
      <xdr:row>3</xdr:row>
      <xdr:rowOff>197640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1396080" y="152280"/>
          <a:ext cx="1378800" cy="1331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F3F3"/>
    <outlinePr summaryBelow="0"/>
    <pageSetUpPr fitToPage="true"/>
  </sheetPr>
  <dimension ref="A1:AB10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44.71"/>
    <col collapsed="false" customWidth="true" hidden="false" outlineLevel="0" max="3" min="3" style="1" width="7.29"/>
    <col collapsed="false" customWidth="true" hidden="false" outlineLevel="0" max="4" min="4" style="1" width="26.57"/>
    <col collapsed="false" customWidth="true" hidden="false" outlineLevel="0" max="5" min="5" style="1" width="14.42"/>
    <col collapsed="false" customWidth="true" hidden="false" outlineLevel="0" max="6" min="6" style="1" width="21"/>
    <col collapsed="false" customWidth="true" hidden="false" outlineLevel="0" max="8" min="7" style="1" width="13.15"/>
    <col collapsed="false" customWidth="true" hidden="false" outlineLevel="0" max="9" min="9" style="1" width="15.29"/>
    <col collapsed="false" customWidth="true" hidden="false" outlineLevel="0" max="10" min="10" style="1" width="12"/>
    <col collapsed="false" customWidth="true" hidden="false" outlineLevel="0" max="11" min="11" style="1" width="14.42"/>
  </cols>
  <sheetData>
    <row r="1" customFormat="false" ht="15.75" hidden="false" customHeight="true" outlineLevel="0" collapsed="false">
      <c r="D1" s="0"/>
      <c r="E1" s="2" t="s">
        <v>0</v>
      </c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.75" hidden="false" customHeight="true" outlineLevel="0" collapsed="false">
      <c r="A2" s="5"/>
      <c r="B2" s="6"/>
      <c r="C2" s="6"/>
      <c r="D2" s="6"/>
      <c r="E2" s="6"/>
      <c r="F2" s="6"/>
      <c r="G2" s="6"/>
      <c r="H2" s="7"/>
      <c r="I2" s="8"/>
      <c r="J2" s="7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Format="false" ht="69.75" hidden="false" customHeight="true" outlineLevel="0" collapsed="false">
      <c r="A3" s="9"/>
      <c r="C3" s="10" t="s">
        <v>1</v>
      </c>
      <c r="D3" s="10"/>
      <c r="E3" s="10"/>
      <c r="F3" s="10"/>
      <c r="G3" s="10"/>
      <c r="H3" s="10"/>
      <c r="I3" s="10"/>
      <c r="J3" s="10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Format="false" ht="23.25" hidden="false" customHeight="true" outlineLevel="0" collapsed="false">
      <c r="G4" s="11"/>
      <c r="H4" s="12" t="s">
        <v>2</v>
      </c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false" ht="15.75" hidden="false" customHeight="true" outlineLevel="0" collapsed="false">
      <c r="A5" s="13" t="s">
        <v>3</v>
      </c>
      <c r="B5" s="14"/>
      <c r="C5" s="14"/>
      <c r="D5" s="15"/>
      <c r="E5" s="13" t="s">
        <v>4</v>
      </c>
      <c r="F5" s="14"/>
      <c r="G5" s="14"/>
      <c r="H5" s="14"/>
      <c r="I5" s="15"/>
      <c r="J5" s="16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false" ht="15.75" hidden="false" customHeight="true" outlineLevel="0" collapsed="false">
      <c r="A6" s="13" t="s">
        <v>5</v>
      </c>
      <c r="B6" s="17"/>
      <c r="C6" s="17"/>
      <c r="D6" s="18"/>
      <c r="E6" s="19" t="s">
        <v>6</v>
      </c>
      <c r="F6" s="20"/>
      <c r="G6" s="20"/>
      <c r="H6" s="20"/>
      <c r="I6" s="21"/>
      <c r="J6" s="22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false" ht="15.75" hidden="false" customHeight="true" outlineLevel="0" collapsed="false">
      <c r="A7" s="13" t="s">
        <v>7</v>
      </c>
      <c r="B7" s="14"/>
      <c r="C7" s="14"/>
      <c r="D7" s="15"/>
      <c r="E7" s="23" t="s">
        <v>8</v>
      </c>
      <c r="F7" s="24"/>
      <c r="G7" s="24"/>
      <c r="H7" s="24"/>
      <c r="I7" s="25"/>
      <c r="J7" s="2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Format="false" ht="15.75" hidden="false" customHeight="true" outlineLevel="0" collapsed="false">
      <c r="A8" s="13" t="s">
        <v>9</v>
      </c>
      <c r="B8" s="14"/>
      <c r="C8" s="14"/>
      <c r="D8" s="15"/>
      <c r="E8" s="23" t="s">
        <v>10</v>
      </c>
      <c r="F8" s="24"/>
      <c r="G8" s="24"/>
      <c r="H8" s="24"/>
      <c r="I8" s="25"/>
      <c r="J8" s="22"/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Format="false" ht="15" hidden="false" customHeight="false" outlineLevel="0" collapsed="false">
      <c r="A9" s="26" t="s">
        <v>11</v>
      </c>
      <c r="B9" s="27"/>
      <c r="C9" s="27"/>
      <c r="D9" s="27"/>
      <c r="E9" s="27"/>
      <c r="F9" s="27"/>
      <c r="G9" s="27"/>
      <c r="H9" s="27"/>
      <c r="I9" s="27"/>
      <c r="J9" s="28"/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Format="false" ht="24.75" hidden="false" customHeight="true" outlineLevel="0" collapsed="false">
      <c r="A10" s="29" t="s">
        <v>12</v>
      </c>
      <c r="B10" s="30" t="s">
        <v>13</v>
      </c>
      <c r="C10" s="30" t="s">
        <v>14</v>
      </c>
      <c r="D10" s="30" t="s">
        <v>15</v>
      </c>
      <c r="E10" s="30" t="s">
        <v>16</v>
      </c>
      <c r="F10" s="31" t="s">
        <v>17</v>
      </c>
      <c r="G10" s="30" t="s">
        <v>18</v>
      </c>
      <c r="H10" s="30" t="s">
        <v>19</v>
      </c>
      <c r="I10" s="32" t="s">
        <v>20</v>
      </c>
      <c r="J10" s="30" t="s">
        <v>21</v>
      </c>
      <c r="K10" s="3" t="s"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="39" customFormat="true" ht="24.75" hidden="false" customHeight="true" outlineLevel="0" collapsed="false">
      <c r="A11" s="29" t="n">
        <v>1</v>
      </c>
      <c r="B11" s="33" t="s">
        <v>23</v>
      </c>
      <c r="C11" s="33" t="s">
        <v>24</v>
      </c>
      <c r="D11" s="33" t="s">
        <v>25</v>
      </c>
      <c r="E11" s="33" t="s">
        <v>25</v>
      </c>
      <c r="F11" s="34" t="n">
        <v>60</v>
      </c>
      <c r="G11" s="33" t="n">
        <v>1</v>
      </c>
      <c r="H11" s="35" t="n">
        <v>500000</v>
      </c>
      <c r="I11" s="36" t="n">
        <f aca="false">G11*H11</f>
        <v>500000</v>
      </c>
      <c r="J11" s="33"/>
      <c r="K11" s="37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s="39" customFormat="true" ht="24.75" hidden="false" customHeight="true" outlineLevel="0" collapsed="false">
      <c r="A12" s="29" t="n">
        <v>2</v>
      </c>
      <c r="B12" s="33" t="s">
        <v>26</v>
      </c>
      <c r="C12" s="33" t="s">
        <v>27</v>
      </c>
      <c r="D12" s="33" t="s">
        <v>25</v>
      </c>
      <c r="E12" s="33" t="s">
        <v>25</v>
      </c>
      <c r="F12" s="34" t="n">
        <v>60</v>
      </c>
      <c r="G12" s="33" t="n">
        <v>1</v>
      </c>
      <c r="H12" s="35" t="n">
        <v>700000</v>
      </c>
      <c r="I12" s="36" t="n">
        <f aca="false">G12*H12</f>
        <v>700000</v>
      </c>
      <c r="J12" s="33"/>
      <c r="K12" s="37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="39" customFormat="true" ht="24.75" hidden="false" customHeight="true" outlineLevel="0" collapsed="false">
      <c r="A13" s="29" t="n">
        <v>3</v>
      </c>
      <c r="B13" s="33" t="s">
        <v>28</v>
      </c>
      <c r="C13" s="33" t="s">
        <v>29</v>
      </c>
      <c r="D13" s="33" t="s">
        <v>25</v>
      </c>
      <c r="E13" s="33" t="s">
        <v>25</v>
      </c>
      <c r="F13" s="34" t="n">
        <v>14</v>
      </c>
      <c r="G13" s="33" t="n">
        <v>1</v>
      </c>
      <c r="H13" s="35" t="n">
        <v>600000</v>
      </c>
      <c r="I13" s="36" t="n">
        <f aca="false">G13*H13</f>
        <v>600000</v>
      </c>
      <c r="J13" s="33"/>
      <c r="K13" s="37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="39" customFormat="true" ht="24.75" hidden="false" customHeight="true" outlineLevel="0" collapsed="false">
      <c r="A14" s="29" t="n">
        <v>4</v>
      </c>
      <c r="B14" s="33" t="s">
        <v>23</v>
      </c>
      <c r="C14" s="33" t="s">
        <v>24</v>
      </c>
      <c r="D14" s="33" t="s">
        <v>25</v>
      </c>
      <c r="E14" s="33" t="s">
        <v>25</v>
      </c>
      <c r="F14" s="34" t="n">
        <v>60</v>
      </c>
      <c r="G14" s="33" t="n">
        <v>1</v>
      </c>
      <c r="H14" s="35" t="n">
        <v>500000</v>
      </c>
      <c r="I14" s="36" t="n">
        <f aca="false">G14*H14</f>
        <v>500000</v>
      </c>
      <c r="J14" s="33"/>
      <c r="K14" s="37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="39" customFormat="true" ht="24.75" hidden="false" customHeight="true" outlineLevel="0" collapsed="false">
      <c r="A15" s="29" t="n">
        <v>5</v>
      </c>
      <c r="B15" s="33" t="s">
        <v>26</v>
      </c>
      <c r="C15" s="33" t="s">
        <v>27</v>
      </c>
      <c r="D15" s="33" t="s">
        <v>25</v>
      </c>
      <c r="E15" s="33" t="s">
        <v>25</v>
      </c>
      <c r="F15" s="34" t="n">
        <v>60</v>
      </c>
      <c r="G15" s="33" t="n">
        <v>1</v>
      </c>
      <c r="H15" s="35" t="n">
        <v>700000</v>
      </c>
      <c r="I15" s="36" t="n">
        <f aca="false">G15*H15</f>
        <v>700000</v>
      </c>
      <c r="J15" s="33"/>
      <c r="K15" s="37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="39" customFormat="true" ht="24.75" hidden="false" customHeight="true" outlineLevel="0" collapsed="false">
      <c r="A16" s="29" t="n">
        <v>6</v>
      </c>
      <c r="B16" s="33" t="s">
        <v>28</v>
      </c>
      <c r="C16" s="33" t="s">
        <v>29</v>
      </c>
      <c r="D16" s="33" t="s">
        <v>25</v>
      </c>
      <c r="E16" s="33" t="s">
        <v>25</v>
      </c>
      <c r="F16" s="34" t="n">
        <v>14</v>
      </c>
      <c r="G16" s="33" t="n">
        <v>1</v>
      </c>
      <c r="H16" s="35" t="n">
        <v>600000</v>
      </c>
      <c r="I16" s="36" t="n">
        <f aca="false">G16*H16</f>
        <v>600000</v>
      </c>
      <c r="J16" s="33"/>
      <c r="K16" s="37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="39" customFormat="true" ht="24.75" hidden="false" customHeight="true" outlineLevel="0" collapsed="false">
      <c r="A17" s="29" t="n">
        <v>7</v>
      </c>
      <c r="B17" s="33" t="s">
        <v>23</v>
      </c>
      <c r="C17" s="33" t="s">
        <v>24</v>
      </c>
      <c r="D17" s="33" t="s">
        <v>25</v>
      </c>
      <c r="E17" s="33" t="s">
        <v>25</v>
      </c>
      <c r="F17" s="34" t="n">
        <v>60</v>
      </c>
      <c r="G17" s="33" t="n">
        <v>1</v>
      </c>
      <c r="H17" s="35" t="n">
        <v>500000</v>
      </c>
      <c r="I17" s="36" t="n">
        <f aca="false">G17*H17</f>
        <v>500000</v>
      </c>
      <c r="J17" s="33"/>
      <c r="K17" s="37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="39" customFormat="true" ht="24.75" hidden="false" customHeight="true" outlineLevel="0" collapsed="false">
      <c r="A18" s="29" t="n">
        <v>8</v>
      </c>
      <c r="B18" s="33" t="s">
        <v>26</v>
      </c>
      <c r="C18" s="33" t="s">
        <v>27</v>
      </c>
      <c r="D18" s="33" t="s">
        <v>25</v>
      </c>
      <c r="E18" s="33" t="s">
        <v>25</v>
      </c>
      <c r="F18" s="34" t="n">
        <v>60</v>
      </c>
      <c r="G18" s="33" t="n">
        <v>1</v>
      </c>
      <c r="H18" s="35" t="n">
        <v>700000</v>
      </c>
      <c r="I18" s="36" t="n">
        <f aca="false">G18*H18</f>
        <v>700000</v>
      </c>
      <c r="J18" s="33"/>
      <c r="K18" s="37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="39" customFormat="true" ht="24.75" hidden="false" customHeight="true" outlineLevel="0" collapsed="false">
      <c r="A19" s="29" t="n">
        <v>9</v>
      </c>
      <c r="B19" s="33" t="s">
        <v>28</v>
      </c>
      <c r="C19" s="33" t="s">
        <v>29</v>
      </c>
      <c r="D19" s="33" t="s">
        <v>25</v>
      </c>
      <c r="E19" s="33" t="s">
        <v>25</v>
      </c>
      <c r="F19" s="34" t="n">
        <v>14</v>
      </c>
      <c r="G19" s="33" t="n">
        <v>1</v>
      </c>
      <c r="H19" s="35" t="n">
        <v>600000</v>
      </c>
      <c r="I19" s="36" t="n">
        <f aca="false">G19*H19</f>
        <v>600000</v>
      </c>
      <c r="J19" s="33"/>
      <c r="K19" s="37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="39" customFormat="true" ht="24.75" hidden="false" customHeight="true" outlineLevel="0" collapsed="false">
      <c r="A20" s="29" t="n">
        <v>10</v>
      </c>
      <c r="B20" s="33" t="s">
        <v>23</v>
      </c>
      <c r="C20" s="33" t="s">
        <v>24</v>
      </c>
      <c r="D20" s="33" t="s">
        <v>25</v>
      </c>
      <c r="E20" s="33" t="s">
        <v>25</v>
      </c>
      <c r="F20" s="34" t="n">
        <v>60</v>
      </c>
      <c r="G20" s="33" t="n">
        <v>1</v>
      </c>
      <c r="H20" s="35" t="n">
        <v>500000</v>
      </c>
      <c r="I20" s="36" t="n">
        <f aca="false">G20*H20</f>
        <v>500000</v>
      </c>
      <c r="J20" s="33"/>
      <c r="K20" s="37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="39" customFormat="true" ht="24.75" hidden="false" customHeight="true" outlineLevel="0" collapsed="false">
      <c r="A21" s="29" t="n">
        <v>11</v>
      </c>
      <c r="B21" s="33" t="s">
        <v>26</v>
      </c>
      <c r="C21" s="33" t="s">
        <v>27</v>
      </c>
      <c r="D21" s="33" t="s">
        <v>25</v>
      </c>
      <c r="E21" s="33" t="s">
        <v>25</v>
      </c>
      <c r="F21" s="34" t="n">
        <v>60</v>
      </c>
      <c r="G21" s="33" t="n">
        <v>1</v>
      </c>
      <c r="H21" s="35" t="n">
        <v>700000</v>
      </c>
      <c r="I21" s="36" t="n">
        <f aca="false">G21*H21</f>
        <v>700000</v>
      </c>
      <c r="J21" s="33"/>
      <c r="K21" s="37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="39" customFormat="true" ht="24.75" hidden="false" customHeight="true" outlineLevel="0" collapsed="false">
      <c r="A22" s="29" t="n">
        <v>12</v>
      </c>
      <c r="B22" s="33" t="s">
        <v>28</v>
      </c>
      <c r="C22" s="33" t="s">
        <v>29</v>
      </c>
      <c r="D22" s="33" t="s">
        <v>25</v>
      </c>
      <c r="E22" s="33" t="s">
        <v>25</v>
      </c>
      <c r="F22" s="34" t="n">
        <v>14</v>
      </c>
      <c r="G22" s="33" t="n">
        <v>1</v>
      </c>
      <c r="H22" s="35" t="n">
        <v>600000</v>
      </c>
      <c r="I22" s="36" t="n">
        <f aca="false">G22*H22</f>
        <v>600000</v>
      </c>
      <c r="J22" s="33"/>
      <c r="K22" s="37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="39" customFormat="true" ht="24.75" hidden="false" customHeight="true" outlineLevel="0" collapsed="false">
      <c r="A23" s="29" t="n">
        <v>13</v>
      </c>
      <c r="B23" s="33" t="s">
        <v>23</v>
      </c>
      <c r="C23" s="33" t="s">
        <v>24</v>
      </c>
      <c r="D23" s="33" t="s">
        <v>25</v>
      </c>
      <c r="E23" s="33" t="s">
        <v>25</v>
      </c>
      <c r="F23" s="34" t="n">
        <v>60</v>
      </c>
      <c r="G23" s="33" t="n">
        <v>1</v>
      </c>
      <c r="H23" s="35" t="n">
        <v>500000</v>
      </c>
      <c r="I23" s="36" t="n">
        <f aca="false">G23*H23</f>
        <v>500000</v>
      </c>
      <c r="J23" s="33"/>
      <c r="K23" s="37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="39" customFormat="true" ht="24.75" hidden="false" customHeight="true" outlineLevel="0" collapsed="false">
      <c r="A24" s="29" t="n">
        <v>14</v>
      </c>
      <c r="B24" s="33" t="s">
        <v>26</v>
      </c>
      <c r="C24" s="33" t="s">
        <v>27</v>
      </c>
      <c r="D24" s="33" t="s">
        <v>25</v>
      </c>
      <c r="E24" s="33" t="s">
        <v>25</v>
      </c>
      <c r="F24" s="34" t="n">
        <v>60</v>
      </c>
      <c r="G24" s="33" t="n">
        <v>1</v>
      </c>
      <c r="H24" s="35" t="n">
        <v>700000</v>
      </c>
      <c r="I24" s="36" t="n">
        <f aca="false">G24*H24</f>
        <v>700000</v>
      </c>
      <c r="J24" s="33"/>
      <c r="K24" s="37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="39" customFormat="true" ht="24.75" hidden="false" customHeight="true" outlineLevel="0" collapsed="false">
      <c r="A25" s="29" t="n">
        <v>15</v>
      </c>
      <c r="B25" s="33" t="s">
        <v>28</v>
      </c>
      <c r="C25" s="33" t="s">
        <v>29</v>
      </c>
      <c r="D25" s="33" t="s">
        <v>25</v>
      </c>
      <c r="E25" s="33" t="s">
        <v>25</v>
      </c>
      <c r="F25" s="34" t="n">
        <v>14</v>
      </c>
      <c r="G25" s="33" t="n">
        <v>1</v>
      </c>
      <c r="H25" s="35" t="n">
        <v>600000</v>
      </c>
      <c r="I25" s="36" t="n">
        <f aca="false">G25*H25</f>
        <v>600000</v>
      </c>
      <c r="J25" s="33"/>
      <c r="K25" s="37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="39" customFormat="true" ht="24.75" hidden="false" customHeight="true" outlineLevel="0" collapsed="false">
      <c r="A26" s="29" t="n">
        <v>16</v>
      </c>
      <c r="B26" s="33" t="s">
        <v>23</v>
      </c>
      <c r="C26" s="33" t="s">
        <v>24</v>
      </c>
      <c r="D26" s="33" t="s">
        <v>25</v>
      </c>
      <c r="E26" s="33" t="s">
        <v>25</v>
      </c>
      <c r="F26" s="34" t="n">
        <v>60</v>
      </c>
      <c r="G26" s="33" t="n">
        <v>1</v>
      </c>
      <c r="H26" s="35" t="n">
        <v>500000</v>
      </c>
      <c r="I26" s="36" t="n">
        <f aca="false">G26*H26</f>
        <v>500000</v>
      </c>
      <c r="J26" s="33"/>
      <c r="K26" s="37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="39" customFormat="true" ht="24.75" hidden="false" customHeight="true" outlineLevel="0" collapsed="false">
      <c r="A27" s="29" t="n">
        <v>17</v>
      </c>
      <c r="B27" s="33" t="s">
        <v>26</v>
      </c>
      <c r="C27" s="33" t="s">
        <v>27</v>
      </c>
      <c r="D27" s="33" t="s">
        <v>25</v>
      </c>
      <c r="E27" s="33" t="s">
        <v>25</v>
      </c>
      <c r="F27" s="34" t="n">
        <v>60</v>
      </c>
      <c r="G27" s="33" t="n">
        <v>1</v>
      </c>
      <c r="H27" s="35" t="n">
        <v>700000</v>
      </c>
      <c r="I27" s="36" t="n">
        <f aca="false">G27*H27</f>
        <v>700000</v>
      </c>
      <c r="J27" s="33"/>
      <c r="K27" s="37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="39" customFormat="true" ht="24.75" hidden="false" customHeight="true" outlineLevel="0" collapsed="false">
      <c r="A28" s="29" t="n">
        <v>18</v>
      </c>
      <c r="B28" s="33" t="s">
        <v>28</v>
      </c>
      <c r="C28" s="33" t="s">
        <v>29</v>
      </c>
      <c r="D28" s="33" t="s">
        <v>25</v>
      </c>
      <c r="E28" s="33" t="s">
        <v>25</v>
      </c>
      <c r="F28" s="34" t="n">
        <v>14</v>
      </c>
      <c r="G28" s="33" t="n">
        <v>1</v>
      </c>
      <c r="H28" s="35" t="n">
        <v>600000</v>
      </c>
      <c r="I28" s="36" t="n">
        <f aca="false">G28*H28</f>
        <v>600000</v>
      </c>
      <c r="J28" s="33"/>
      <c r="K28" s="37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="39" customFormat="true" ht="24.75" hidden="false" customHeight="true" outlineLevel="0" collapsed="false">
      <c r="A29" s="29" t="n">
        <v>19</v>
      </c>
      <c r="B29" s="33" t="s">
        <v>23</v>
      </c>
      <c r="C29" s="33" t="s">
        <v>24</v>
      </c>
      <c r="D29" s="33" t="s">
        <v>25</v>
      </c>
      <c r="E29" s="33" t="s">
        <v>25</v>
      </c>
      <c r="F29" s="34" t="n">
        <v>60</v>
      </c>
      <c r="G29" s="33" t="n">
        <v>1</v>
      </c>
      <c r="H29" s="35" t="n">
        <v>500000</v>
      </c>
      <c r="I29" s="36" t="n">
        <f aca="false">G29*H29</f>
        <v>500000</v>
      </c>
      <c r="J29" s="33"/>
      <c r="K29" s="37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="39" customFormat="true" ht="24.75" hidden="false" customHeight="true" outlineLevel="0" collapsed="false">
      <c r="A30" s="29" t="n">
        <v>20</v>
      </c>
      <c r="B30" s="33" t="s">
        <v>26</v>
      </c>
      <c r="C30" s="33" t="s">
        <v>27</v>
      </c>
      <c r="D30" s="33" t="s">
        <v>25</v>
      </c>
      <c r="E30" s="33" t="s">
        <v>25</v>
      </c>
      <c r="F30" s="34" t="n">
        <v>60</v>
      </c>
      <c r="G30" s="33" t="n">
        <v>1</v>
      </c>
      <c r="H30" s="35" t="n">
        <v>700000</v>
      </c>
      <c r="I30" s="36" t="n">
        <f aca="false">G30*H30</f>
        <v>700000</v>
      </c>
      <c r="J30" s="33"/>
      <c r="K30" s="37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="39" customFormat="true" ht="24.75" hidden="false" customHeight="true" outlineLevel="0" collapsed="false">
      <c r="A31" s="29" t="n">
        <v>21</v>
      </c>
      <c r="B31" s="33" t="s">
        <v>28</v>
      </c>
      <c r="C31" s="33" t="s">
        <v>29</v>
      </c>
      <c r="D31" s="33" t="s">
        <v>25</v>
      </c>
      <c r="E31" s="33" t="s">
        <v>25</v>
      </c>
      <c r="F31" s="34" t="n">
        <v>14</v>
      </c>
      <c r="G31" s="33" t="n">
        <v>1</v>
      </c>
      <c r="H31" s="35" t="n">
        <v>600000</v>
      </c>
      <c r="I31" s="36" t="n">
        <f aca="false">G31*H31</f>
        <v>600000</v>
      </c>
      <c r="J31" s="33"/>
      <c r="K31" s="37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="39" customFormat="true" ht="24.75" hidden="false" customHeight="true" outlineLevel="0" collapsed="false">
      <c r="A32" s="29" t="n">
        <v>22</v>
      </c>
      <c r="B32" s="33" t="s">
        <v>23</v>
      </c>
      <c r="C32" s="33" t="s">
        <v>24</v>
      </c>
      <c r="D32" s="33" t="s">
        <v>25</v>
      </c>
      <c r="E32" s="33" t="s">
        <v>25</v>
      </c>
      <c r="F32" s="34" t="n">
        <v>60</v>
      </c>
      <c r="G32" s="33" t="n">
        <v>1</v>
      </c>
      <c r="H32" s="35" t="n">
        <v>500000</v>
      </c>
      <c r="I32" s="36" t="n">
        <f aca="false">G32*H32</f>
        <v>500000</v>
      </c>
      <c r="J32" s="33"/>
      <c r="K32" s="37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="39" customFormat="true" ht="24.75" hidden="false" customHeight="true" outlineLevel="0" collapsed="false">
      <c r="A33" s="29" t="n">
        <v>23</v>
      </c>
      <c r="B33" s="33" t="s">
        <v>26</v>
      </c>
      <c r="C33" s="33" t="s">
        <v>27</v>
      </c>
      <c r="D33" s="33" t="s">
        <v>25</v>
      </c>
      <c r="E33" s="33" t="s">
        <v>25</v>
      </c>
      <c r="F33" s="34" t="n">
        <v>60</v>
      </c>
      <c r="G33" s="33" t="n">
        <v>1</v>
      </c>
      <c r="H33" s="35" t="n">
        <v>700000</v>
      </c>
      <c r="I33" s="36" t="n">
        <f aca="false">G33*H33</f>
        <v>700000</v>
      </c>
      <c r="J33" s="33"/>
      <c r="K33" s="37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="39" customFormat="true" ht="24.75" hidden="false" customHeight="true" outlineLevel="0" collapsed="false">
      <c r="A34" s="29" t="n">
        <v>24</v>
      </c>
      <c r="B34" s="33" t="s">
        <v>28</v>
      </c>
      <c r="C34" s="33" t="s">
        <v>29</v>
      </c>
      <c r="D34" s="33" t="s">
        <v>25</v>
      </c>
      <c r="E34" s="33" t="s">
        <v>25</v>
      </c>
      <c r="F34" s="34" t="n">
        <v>14</v>
      </c>
      <c r="G34" s="33" t="n">
        <v>1</v>
      </c>
      <c r="H34" s="35" t="n">
        <v>600000</v>
      </c>
      <c r="I34" s="36" t="n">
        <f aca="false">G34*H34</f>
        <v>600000</v>
      </c>
      <c r="J34" s="33"/>
      <c r="K34" s="37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="39" customFormat="true" ht="24.75" hidden="false" customHeight="true" outlineLevel="0" collapsed="false">
      <c r="A35" s="29" t="n">
        <v>25</v>
      </c>
      <c r="B35" s="33" t="s">
        <v>23</v>
      </c>
      <c r="C35" s="33" t="s">
        <v>24</v>
      </c>
      <c r="D35" s="33" t="s">
        <v>25</v>
      </c>
      <c r="E35" s="33" t="s">
        <v>25</v>
      </c>
      <c r="F35" s="34" t="n">
        <v>60</v>
      </c>
      <c r="G35" s="33" t="n">
        <v>1</v>
      </c>
      <c r="H35" s="35" t="n">
        <v>500000</v>
      </c>
      <c r="I35" s="36" t="n">
        <f aca="false">G35*H35</f>
        <v>500000</v>
      </c>
      <c r="J35" s="33"/>
      <c r="K35" s="37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="39" customFormat="true" ht="24.75" hidden="false" customHeight="true" outlineLevel="0" collapsed="false">
      <c r="A36" s="29" t="n">
        <v>26</v>
      </c>
      <c r="B36" s="33" t="s">
        <v>26</v>
      </c>
      <c r="C36" s="33" t="s">
        <v>27</v>
      </c>
      <c r="D36" s="33" t="s">
        <v>25</v>
      </c>
      <c r="E36" s="33" t="s">
        <v>25</v>
      </c>
      <c r="F36" s="34" t="n">
        <v>60</v>
      </c>
      <c r="G36" s="33" t="n">
        <v>1</v>
      </c>
      <c r="H36" s="35" t="n">
        <v>700000</v>
      </c>
      <c r="I36" s="36" t="n">
        <f aca="false">G36*H36</f>
        <v>700000</v>
      </c>
      <c r="J36" s="33"/>
      <c r="K36" s="37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s="39" customFormat="true" ht="24.75" hidden="false" customHeight="true" outlineLevel="0" collapsed="false">
      <c r="A37" s="29" t="n">
        <v>27</v>
      </c>
      <c r="B37" s="33" t="s">
        <v>28</v>
      </c>
      <c r="C37" s="33" t="s">
        <v>29</v>
      </c>
      <c r="D37" s="33" t="s">
        <v>25</v>
      </c>
      <c r="E37" s="33" t="s">
        <v>25</v>
      </c>
      <c r="F37" s="34" t="n">
        <v>14</v>
      </c>
      <c r="G37" s="33" t="n">
        <v>1</v>
      </c>
      <c r="H37" s="35" t="n">
        <v>600000</v>
      </c>
      <c r="I37" s="36" t="n">
        <f aca="false">G37*H37</f>
        <v>600000</v>
      </c>
      <c r="J37" s="33"/>
      <c r="K37" s="37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="39" customFormat="true" ht="24.75" hidden="false" customHeight="true" outlineLevel="0" collapsed="false">
      <c r="A38" s="29" t="n">
        <v>28</v>
      </c>
      <c r="B38" s="33" t="s">
        <v>23</v>
      </c>
      <c r="C38" s="33" t="s">
        <v>24</v>
      </c>
      <c r="D38" s="33" t="s">
        <v>25</v>
      </c>
      <c r="E38" s="33" t="s">
        <v>25</v>
      </c>
      <c r="F38" s="34" t="n">
        <v>60</v>
      </c>
      <c r="G38" s="33" t="n">
        <v>1</v>
      </c>
      <c r="H38" s="35" t="n">
        <v>500000</v>
      </c>
      <c r="I38" s="36" t="n">
        <f aca="false">G38*H38</f>
        <v>500000</v>
      </c>
      <c r="J38" s="33"/>
      <c r="K38" s="37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="39" customFormat="true" ht="24.75" hidden="false" customHeight="true" outlineLevel="0" collapsed="false">
      <c r="A39" s="29" t="n">
        <v>29</v>
      </c>
      <c r="B39" s="33" t="s">
        <v>26</v>
      </c>
      <c r="C39" s="33" t="s">
        <v>27</v>
      </c>
      <c r="D39" s="33" t="s">
        <v>25</v>
      </c>
      <c r="E39" s="33" t="s">
        <v>25</v>
      </c>
      <c r="F39" s="34" t="n">
        <v>60</v>
      </c>
      <c r="G39" s="33" t="n">
        <v>1</v>
      </c>
      <c r="H39" s="35" t="n">
        <v>700000</v>
      </c>
      <c r="I39" s="36" t="n">
        <f aca="false">G39*H39</f>
        <v>700000</v>
      </c>
      <c r="J39" s="33"/>
      <c r="K39" s="37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="39" customFormat="true" ht="24.75" hidden="false" customHeight="true" outlineLevel="0" collapsed="false">
      <c r="A40" s="29" t="n">
        <v>30</v>
      </c>
      <c r="B40" s="33" t="s">
        <v>28</v>
      </c>
      <c r="C40" s="33" t="s">
        <v>29</v>
      </c>
      <c r="D40" s="33" t="s">
        <v>25</v>
      </c>
      <c r="E40" s="33" t="s">
        <v>25</v>
      </c>
      <c r="F40" s="34" t="n">
        <v>14</v>
      </c>
      <c r="G40" s="33" t="n">
        <v>1</v>
      </c>
      <c r="H40" s="35" t="n">
        <v>600000</v>
      </c>
      <c r="I40" s="36" t="n">
        <f aca="false">G40*H40</f>
        <v>600000</v>
      </c>
      <c r="J40" s="33"/>
      <c r="K40" s="37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s="39" customFormat="true" ht="24.75" hidden="false" customHeight="true" outlineLevel="0" collapsed="false">
      <c r="A41" s="29" t="n">
        <v>31</v>
      </c>
      <c r="B41" s="33" t="s">
        <v>30</v>
      </c>
      <c r="C41" s="33" t="s">
        <v>24</v>
      </c>
      <c r="D41" s="33" t="s">
        <v>25</v>
      </c>
      <c r="E41" s="33" t="s">
        <v>25</v>
      </c>
      <c r="F41" s="34" t="n">
        <v>30</v>
      </c>
      <c r="G41" s="33" t="n">
        <v>1</v>
      </c>
      <c r="H41" s="35" t="n">
        <v>2000000</v>
      </c>
      <c r="I41" s="36" t="n">
        <f aca="false">G41*H41</f>
        <v>2000000</v>
      </c>
      <c r="J41" s="33"/>
      <c r="K41" s="37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s="39" customFormat="true" ht="24.75" hidden="false" customHeight="true" outlineLevel="0" collapsed="false">
      <c r="A42" s="29" t="n">
        <v>32</v>
      </c>
      <c r="B42" s="33" t="s">
        <v>28</v>
      </c>
      <c r="C42" s="33" t="s">
        <v>29</v>
      </c>
      <c r="D42" s="33" t="s">
        <v>25</v>
      </c>
      <c r="E42" s="33" t="s">
        <v>25</v>
      </c>
      <c r="F42" s="34" t="n">
        <v>14</v>
      </c>
      <c r="G42" s="33" t="n">
        <v>1</v>
      </c>
      <c r="H42" s="35" t="n">
        <v>600000</v>
      </c>
      <c r="I42" s="36" t="n">
        <f aca="false">G42*H42</f>
        <v>600000</v>
      </c>
      <c r="J42" s="33"/>
      <c r="K42" s="37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s="39" customFormat="true" ht="24.75" hidden="false" customHeight="true" outlineLevel="0" collapsed="false">
      <c r="A43" s="29" t="n">
        <v>33</v>
      </c>
      <c r="B43" s="33" t="s">
        <v>28</v>
      </c>
      <c r="C43" s="33" t="s">
        <v>29</v>
      </c>
      <c r="D43" s="33" t="s">
        <v>25</v>
      </c>
      <c r="E43" s="33" t="s">
        <v>25</v>
      </c>
      <c r="F43" s="34" t="n">
        <v>14</v>
      </c>
      <c r="G43" s="33" t="n">
        <v>1</v>
      </c>
      <c r="H43" s="35" t="n">
        <v>600000</v>
      </c>
      <c r="I43" s="36" t="n">
        <f aca="false">G43*H43</f>
        <v>600000</v>
      </c>
      <c r="J43" s="33"/>
      <c r="K43" s="37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="39" customFormat="true" ht="24.75" hidden="false" customHeight="true" outlineLevel="0" collapsed="false">
      <c r="A44" s="29" t="n">
        <v>34</v>
      </c>
      <c r="B44" s="33" t="s">
        <v>28</v>
      </c>
      <c r="C44" s="33" t="s">
        <v>29</v>
      </c>
      <c r="D44" s="33" t="s">
        <v>25</v>
      </c>
      <c r="E44" s="33" t="s">
        <v>25</v>
      </c>
      <c r="F44" s="34" t="n">
        <v>14</v>
      </c>
      <c r="G44" s="33" t="n">
        <v>1</v>
      </c>
      <c r="H44" s="35" t="n">
        <v>600000</v>
      </c>
      <c r="I44" s="36" t="n">
        <f aca="false">G44*H44</f>
        <v>600000</v>
      </c>
      <c r="J44" s="33"/>
      <c r="K44" s="37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s="39" customFormat="true" ht="24.75" hidden="false" customHeight="true" outlineLevel="0" collapsed="false">
      <c r="A45" s="29" t="n">
        <v>35</v>
      </c>
      <c r="B45" s="33" t="s">
        <v>28</v>
      </c>
      <c r="C45" s="33" t="s">
        <v>29</v>
      </c>
      <c r="D45" s="33" t="s">
        <v>25</v>
      </c>
      <c r="E45" s="33" t="s">
        <v>25</v>
      </c>
      <c r="F45" s="34" t="n">
        <v>14</v>
      </c>
      <c r="G45" s="33" t="n">
        <v>1</v>
      </c>
      <c r="H45" s="35" t="n">
        <v>600000</v>
      </c>
      <c r="I45" s="36" t="n">
        <f aca="false">G45*H45</f>
        <v>600000</v>
      </c>
      <c r="J45" s="33"/>
      <c r="K45" s="37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s="39" customFormat="true" ht="24.75" hidden="false" customHeight="true" outlineLevel="0" collapsed="false">
      <c r="A46" s="29" t="n">
        <v>36</v>
      </c>
      <c r="B46" s="33" t="s">
        <v>28</v>
      </c>
      <c r="C46" s="33" t="s">
        <v>29</v>
      </c>
      <c r="D46" s="33" t="s">
        <v>25</v>
      </c>
      <c r="E46" s="33" t="s">
        <v>25</v>
      </c>
      <c r="F46" s="34" t="n">
        <v>14</v>
      </c>
      <c r="G46" s="33" t="n">
        <v>1</v>
      </c>
      <c r="H46" s="35" t="n">
        <v>600000</v>
      </c>
      <c r="I46" s="36" t="n">
        <f aca="false">G46*H46</f>
        <v>600000</v>
      </c>
      <c r="J46" s="33"/>
      <c r="K46" s="37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s="39" customFormat="true" ht="24.75" hidden="false" customHeight="true" outlineLevel="0" collapsed="false">
      <c r="A47" s="29" t="n">
        <v>37</v>
      </c>
      <c r="B47" s="33" t="s">
        <v>28</v>
      </c>
      <c r="C47" s="33" t="s">
        <v>29</v>
      </c>
      <c r="D47" s="33" t="s">
        <v>25</v>
      </c>
      <c r="E47" s="33" t="s">
        <v>25</v>
      </c>
      <c r="F47" s="34" t="n">
        <v>14</v>
      </c>
      <c r="G47" s="33" t="n">
        <v>1</v>
      </c>
      <c r="H47" s="35" t="n">
        <v>600000</v>
      </c>
      <c r="I47" s="36" t="n">
        <f aca="false">G47*H47</f>
        <v>600000</v>
      </c>
      <c r="J47" s="33"/>
      <c r="K47" s="37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="39" customFormat="true" ht="24.75" hidden="false" customHeight="true" outlineLevel="0" collapsed="false">
      <c r="A48" s="29" t="n">
        <v>38</v>
      </c>
      <c r="B48" s="33" t="s">
        <v>28</v>
      </c>
      <c r="C48" s="33" t="s">
        <v>29</v>
      </c>
      <c r="D48" s="33" t="s">
        <v>25</v>
      </c>
      <c r="E48" s="33" t="s">
        <v>25</v>
      </c>
      <c r="F48" s="34" t="n">
        <v>14</v>
      </c>
      <c r="G48" s="33" t="n">
        <v>1</v>
      </c>
      <c r="H48" s="35" t="n">
        <v>600000</v>
      </c>
      <c r="I48" s="36" t="n">
        <f aca="false">G48*H48</f>
        <v>600000</v>
      </c>
      <c r="J48" s="33"/>
      <c r="K48" s="37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 s="39" customFormat="true" ht="24.75" hidden="false" customHeight="true" outlineLevel="0" collapsed="false">
      <c r="A49" s="29" t="n">
        <v>39</v>
      </c>
      <c r="B49" s="33" t="s">
        <v>28</v>
      </c>
      <c r="C49" s="33" t="s">
        <v>29</v>
      </c>
      <c r="D49" s="33" t="s">
        <v>25</v>
      </c>
      <c r="E49" s="33" t="s">
        <v>25</v>
      </c>
      <c r="F49" s="34" t="n">
        <v>14</v>
      </c>
      <c r="G49" s="33" t="n">
        <v>1</v>
      </c>
      <c r="H49" s="35" t="n">
        <v>600000</v>
      </c>
      <c r="I49" s="36" t="n">
        <f aca="false">G49*H49</f>
        <v>600000</v>
      </c>
      <c r="J49" s="33"/>
      <c r="K49" s="37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s="39" customFormat="true" ht="24.75" hidden="false" customHeight="true" outlineLevel="0" collapsed="false">
      <c r="A50" s="29" t="n">
        <v>40</v>
      </c>
      <c r="B50" s="33" t="s">
        <v>28</v>
      </c>
      <c r="C50" s="33" t="s">
        <v>29</v>
      </c>
      <c r="D50" s="33" t="s">
        <v>25</v>
      </c>
      <c r="E50" s="33" t="s">
        <v>25</v>
      </c>
      <c r="F50" s="34" t="n">
        <v>14</v>
      </c>
      <c r="G50" s="33" t="n">
        <v>1</v>
      </c>
      <c r="H50" s="35" t="n">
        <v>600000</v>
      </c>
      <c r="I50" s="36" t="n">
        <f aca="false">G50*H50</f>
        <v>600000</v>
      </c>
      <c r="J50" s="33"/>
      <c r="K50" s="37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 s="39" customFormat="true" ht="24.75" hidden="false" customHeight="true" outlineLevel="0" collapsed="false">
      <c r="A51" s="29" t="n">
        <v>41</v>
      </c>
      <c r="B51" s="33" t="s">
        <v>28</v>
      </c>
      <c r="C51" s="33" t="s">
        <v>29</v>
      </c>
      <c r="D51" s="33" t="s">
        <v>25</v>
      </c>
      <c r="E51" s="33" t="s">
        <v>25</v>
      </c>
      <c r="F51" s="34" t="n">
        <v>14</v>
      </c>
      <c r="G51" s="33" t="n">
        <v>1</v>
      </c>
      <c r="H51" s="35" t="n">
        <v>600000</v>
      </c>
      <c r="I51" s="36" t="n">
        <f aca="false">G51*H51</f>
        <v>600000</v>
      </c>
      <c r="J51" s="33"/>
      <c r="K51" s="37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s="39" customFormat="true" ht="24.75" hidden="false" customHeight="true" outlineLevel="0" collapsed="false">
      <c r="A52" s="29" t="n">
        <v>42</v>
      </c>
      <c r="B52" s="33" t="s">
        <v>28</v>
      </c>
      <c r="C52" s="33" t="s">
        <v>29</v>
      </c>
      <c r="D52" s="33" t="s">
        <v>25</v>
      </c>
      <c r="E52" s="33" t="s">
        <v>25</v>
      </c>
      <c r="F52" s="34" t="n">
        <v>14</v>
      </c>
      <c r="G52" s="33" t="n">
        <v>1</v>
      </c>
      <c r="H52" s="35" t="n">
        <v>600000</v>
      </c>
      <c r="I52" s="36" t="n">
        <f aca="false">G52*H52</f>
        <v>600000</v>
      </c>
      <c r="J52" s="33"/>
      <c r="K52" s="37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 s="39" customFormat="true" ht="24.75" hidden="false" customHeight="true" outlineLevel="0" collapsed="false">
      <c r="A53" s="29" t="n">
        <v>43</v>
      </c>
      <c r="B53" s="33" t="s">
        <v>28</v>
      </c>
      <c r="C53" s="33" t="s">
        <v>29</v>
      </c>
      <c r="D53" s="33" t="s">
        <v>25</v>
      </c>
      <c r="E53" s="33" t="s">
        <v>25</v>
      </c>
      <c r="F53" s="34" t="n">
        <v>14</v>
      </c>
      <c r="G53" s="33" t="n">
        <v>1</v>
      </c>
      <c r="H53" s="35" t="n">
        <v>600000</v>
      </c>
      <c r="I53" s="36" t="n">
        <f aca="false">G53*H53</f>
        <v>600000</v>
      </c>
      <c r="J53" s="33"/>
      <c r="K53" s="37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 s="39" customFormat="true" ht="24.75" hidden="false" customHeight="true" outlineLevel="0" collapsed="false">
      <c r="A54" s="29" t="n">
        <v>44</v>
      </c>
      <c r="B54" s="33" t="s">
        <v>28</v>
      </c>
      <c r="C54" s="33" t="s">
        <v>29</v>
      </c>
      <c r="D54" s="33" t="s">
        <v>25</v>
      </c>
      <c r="E54" s="33" t="s">
        <v>25</v>
      </c>
      <c r="F54" s="34" t="n">
        <v>14</v>
      </c>
      <c r="G54" s="33" t="n">
        <v>1</v>
      </c>
      <c r="H54" s="35" t="n">
        <v>600000</v>
      </c>
      <c r="I54" s="36" t="n">
        <f aca="false">G54*H54</f>
        <v>600000</v>
      </c>
      <c r="J54" s="33"/>
      <c r="K54" s="37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 s="39" customFormat="true" ht="24.75" hidden="false" customHeight="true" outlineLevel="0" collapsed="false">
      <c r="A55" s="29" t="n">
        <v>45</v>
      </c>
      <c r="B55" s="33" t="s">
        <v>28</v>
      </c>
      <c r="C55" s="33" t="s">
        <v>29</v>
      </c>
      <c r="D55" s="33" t="s">
        <v>25</v>
      </c>
      <c r="E55" s="33" t="s">
        <v>25</v>
      </c>
      <c r="F55" s="34" t="n">
        <v>14</v>
      </c>
      <c r="G55" s="33" t="n">
        <v>1</v>
      </c>
      <c r="H55" s="35" t="n">
        <v>600000</v>
      </c>
      <c r="I55" s="36" t="n">
        <f aca="false">G55*H55</f>
        <v>600000</v>
      </c>
      <c r="J55" s="33"/>
      <c r="K55" s="37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s="39" customFormat="true" ht="24.75" hidden="false" customHeight="true" outlineLevel="0" collapsed="false">
      <c r="A56" s="29" t="n">
        <v>46</v>
      </c>
      <c r="B56" s="33" t="s">
        <v>28</v>
      </c>
      <c r="C56" s="33" t="s">
        <v>29</v>
      </c>
      <c r="D56" s="33" t="s">
        <v>25</v>
      </c>
      <c r="E56" s="33" t="s">
        <v>25</v>
      </c>
      <c r="F56" s="34" t="n">
        <v>14</v>
      </c>
      <c r="G56" s="33" t="n">
        <v>1</v>
      </c>
      <c r="H56" s="35" t="n">
        <v>600000</v>
      </c>
      <c r="I56" s="36" t="n">
        <f aca="false">G56*H56</f>
        <v>600000</v>
      </c>
      <c r="J56" s="33"/>
      <c r="K56" s="37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s="39" customFormat="true" ht="24.75" hidden="false" customHeight="true" outlineLevel="0" collapsed="false">
      <c r="A57" s="29" t="n">
        <v>47</v>
      </c>
      <c r="B57" s="33" t="s">
        <v>28</v>
      </c>
      <c r="C57" s="33" t="s">
        <v>29</v>
      </c>
      <c r="D57" s="33" t="s">
        <v>25</v>
      </c>
      <c r="E57" s="33" t="s">
        <v>25</v>
      </c>
      <c r="F57" s="34" t="n">
        <v>14</v>
      </c>
      <c r="G57" s="33" t="n">
        <v>1</v>
      </c>
      <c r="H57" s="35" t="n">
        <v>600000</v>
      </c>
      <c r="I57" s="36" t="n">
        <f aca="false">G57*H57</f>
        <v>600000</v>
      </c>
      <c r="J57" s="33"/>
      <c r="K57" s="37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 s="39" customFormat="true" ht="24.75" hidden="false" customHeight="true" outlineLevel="0" collapsed="false">
      <c r="A58" s="29" t="n">
        <v>48</v>
      </c>
      <c r="B58" s="33" t="s">
        <v>28</v>
      </c>
      <c r="C58" s="33" t="s">
        <v>29</v>
      </c>
      <c r="D58" s="33" t="s">
        <v>25</v>
      </c>
      <c r="E58" s="33" t="s">
        <v>25</v>
      </c>
      <c r="F58" s="34" t="n">
        <v>14</v>
      </c>
      <c r="G58" s="33" t="n">
        <v>1</v>
      </c>
      <c r="H58" s="35" t="n">
        <v>600000</v>
      </c>
      <c r="I58" s="36" t="n">
        <f aca="false">G58*H58</f>
        <v>600000</v>
      </c>
      <c r="J58" s="33"/>
      <c r="K58" s="37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s="39" customFormat="true" ht="24.75" hidden="false" customHeight="true" outlineLevel="0" collapsed="false">
      <c r="A59" s="29" t="n">
        <v>49</v>
      </c>
      <c r="B59" s="33" t="s">
        <v>28</v>
      </c>
      <c r="C59" s="33" t="s">
        <v>29</v>
      </c>
      <c r="D59" s="33" t="s">
        <v>25</v>
      </c>
      <c r="E59" s="33" t="s">
        <v>25</v>
      </c>
      <c r="F59" s="34" t="n">
        <v>14</v>
      </c>
      <c r="G59" s="33" t="n">
        <v>1</v>
      </c>
      <c r="H59" s="35" t="n">
        <v>600000</v>
      </c>
      <c r="I59" s="36" t="n">
        <f aca="false">G59*H59</f>
        <v>600000</v>
      </c>
      <c r="J59" s="33"/>
      <c r="K59" s="37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="39" customFormat="true" ht="24.75" hidden="false" customHeight="true" outlineLevel="0" collapsed="false">
      <c r="A60" s="29" t="n">
        <v>50</v>
      </c>
      <c r="B60" s="33" t="s">
        <v>28</v>
      </c>
      <c r="C60" s="33" t="s">
        <v>29</v>
      </c>
      <c r="D60" s="33" t="s">
        <v>25</v>
      </c>
      <c r="E60" s="33" t="s">
        <v>25</v>
      </c>
      <c r="F60" s="34" t="n">
        <v>14</v>
      </c>
      <c r="G60" s="33" t="n">
        <v>1</v>
      </c>
      <c r="H60" s="35" t="n">
        <v>600000</v>
      </c>
      <c r="I60" s="36" t="n">
        <f aca="false">G60*H60</f>
        <v>600000</v>
      </c>
      <c r="J60" s="33"/>
      <c r="K60" s="37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 customFormat="false" ht="33.75" hidden="false" customHeight="true" outlineLevel="0" collapsed="false">
      <c r="A61" s="40"/>
      <c r="B61" s="41"/>
      <c r="C61" s="41"/>
      <c r="D61" s="42" t="s">
        <v>31</v>
      </c>
      <c r="E61" s="41"/>
      <c r="F61" s="41"/>
      <c r="G61" s="41"/>
      <c r="H61" s="43"/>
      <c r="I61" s="44" t="n">
        <f aca="false">SUM(I11:I60)</f>
        <v>31400000</v>
      </c>
      <c r="J61" s="45"/>
      <c r="K61" s="46"/>
      <c r="L61" s="47"/>
      <c r="M61" s="48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customFormat="false" ht="28.5" hidden="false" customHeight="true" outlineLevel="0" collapsed="false">
      <c r="A62" s="40"/>
      <c r="B62" s="50"/>
      <c r="C62" s="50"/>
      <c r="D62" s="51" t="s">
        <v>32</v>
      </c>
      <c r="E62" s="50"/>
      <c r="F62" s="50"/>
      <c r="G62" s="50"/>
      <c r="H62" s="50"/>
      <c r="I62" s="52"/>
      <c r="J62" s="22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customFormat="false" ht="28.5" hidden="false" customHeight="true" outlineLevel="0" collapsed="false">
      <c r="A63" s="53" t="s">
        <v>33</v>
      </c>
      <c r="B63" s="50"/>
      <c r="C63" s="50"/>
      <c r="D63" s="51"/>
      <c r="E63" s="50"/>
      <c r="F63" s="50"/>
      <c r="G63" s="50"/>
      <c r="H63" s="50"/>
      <c r="I63" s="52"/>
      <c r="J63" s="22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customFormat="false" ht="28.5" hidden="false" customHeight="true" outlineLevel="0" collapsed="false">
      <c r="A64" s="54" t="s">
        <v>34</v>
      </c>
      <c r="B64" s="55"/>
      <c r="C64" s="55"/>
      <c r="D64" s="55"/>
      <c r="E64" s="55"/>
      <c r="F64" s="55"/>
      <c r="G64" s="55"/>
      <c r="H64" s="55"/>
      <c r="I64" s="8"/>
      <c r="J64" s="7"/>
      <c r="K64" s="5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customFormat="false" ht="15" hidden="false" customHeight="false" outlineLevel="0" collapsed="false">
      <c r="A65" s="57"/>
      <c r="B65" s="58" t="s">
        <v>35</v>
      </c>
      <c r="C65" s="59" t="s">
        <v>36</v>
      </c>
      <c r="D65" s="59"/>
      <c r="E65" s="59"/>
      <c r="F65" s="59"/>
      <c r="G65" s="59"/>
      <c r="H65" s="59"/>
      <c r="I65" s="59"/>
      <c r="J65" s="59"/>
      <c r="K65" s="5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customFormat="false" ht="15" hidden="false" customHeight="false" outlineLevel="0" collapsed="false">
      <c r="A66" s="57"/>
      <c r="B66" s="58"/>
      <c r="C66" s="60" t="s">
        <v>37</v>
      </c>
      <c r="D66" s="61"/>
      <c r="E66" s="61"/>
      <c r="F66" s="61"/>
      <c r="G66" s="61"/>
      <c r="H66" s="61"/>
      <c r="I66" s="61"/>
      <c r="J66" s="61"/>
      <c r="K66" s="5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customFormat="false" ht="15" hidden="false" customHeight="false" outlineLevel="0" collapsed="false">
      <c r="A67" s="57"/>
      <c r="B67" s="58" t="s">
        <v>38</v>
      </c>
      <c r="C67" s="59" t="s">
        <v>39</v>
      </c>
      <c r="D67" s="59"/>
      <c r="E67" s="59"/>
      <c r="F67" s="59"/>
      <c r="G67" s="59"/>
      <c r="H67" s="59"/>
      <c r="I67" s="59"/>
      <c r="J67" s="59"/>
      <c r="K67" s="5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customFormat="false" ht="15" hidden="false" customHeight="false" outlineLevel="0" collapsed="false">
      <c r="A68" s="57"/>
      <c r="B68" s="58"/>
      <c r="C68" s="60" t="s">
        <v>40</v>
      </c>
      <c r="D68" s="61"/>
      <c r="E68" s="61"/>
      <c r="F68" s="61"/>
      <c r="G68" s="61"/>
      <c r="H68" s="61"/>
      <c r="I68" s="61"/>
      <c r="J68" s="61"/>
      <c r="K68" s="5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customFormat="false" ht="15" hidden="false" customHeight="false" outlineLevel="0" collapsed="false">
      <c r="A69" s="62"/>
      <c r="B69" s="58" t="s">
        <v>41</v>
      </c>
      <c r="C69" s="59" t="s">
        <v>42</v>
      </c>
      <c r="D69" s="59"/>
      <c r="E69" s="59"/>
      <c r="F69" s="59"/>
      <c r="G69" s="59"/>
      <c r="H69" s="59"/>
      <c r="I69" s="59"/>
      <c r="J69" s="59"/>
      <c r="K69" s="5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customFormat="false" ht="15" hidden="false" customHeight="false" outlineLevel="0" collapsed="false">
      <c r="A70" s="62"/>
      <c r="B70" s="58"/>
      <c r="C70" s="60" t="s">
        <v>43</v>
      </c>
      <c r="D70" s="61"/>
      <c r="E70" s="61"/>
      <c r="F70" s="61"/>
      <c r="G70" s="61"/>
      <c r="H70" s="61"/>
      <c r="I70" s="61"/>
      <c r="J70" s="61"/>
      <c r="K70" s="5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customFormat="false" ht="15" hidden="false" customHeight="false" outlineLevel="0" collapsed="false">
      <c r="A71" s="62"/>
      <c r="B71" s="58"/>
      <c r="C71" s="60" t="s">
        <v>44</v>
      </c>
      <c r="D71" s="61"/>
      <c r="E71" s="61"/>
      <c r="F71" s="61"/>
      <c r="G71" s="61"/>
      <c r="H71" s="61"/>
      <c r="I71" s="61"/>
      <c r="J71" s="61"/>
      <c r="K71" s="5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customFormat="false" ht="15" hidden="false" customHeight="false" outlineLevel="0" collapsed="false">
      <c r="A72" s="62"/>
      <c r="B72" s="58" t="s">
        <v>45</v>
      </c>
      <c r="C72" s="59" t="s">
        <v>46</v>
      </c>
      <c r="D72" s="61"/>
      <c r="E72" s="61"/>
      <c r="F72" s="61"/>
      <c r="G72" s="61"/>
      <c r="H72" s="61"/>
      <c r="I72" s="61"/>
      <c r="J72" s="61"/>
      <c r="K72" s="5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customFormat="false" ht="15" hidden="false" customHeight="false" outlineLevel="0" collapsed="false">
      <c r="A73" s="62"/>
      <c r="B73" s="58"/>
      <c r="C73" s="60" t="s">
        <v>47</v>
      </c>
      <c r="D73" s="61"/>
      <c r="E73" s="61"/>
      <c r="F73" s="61"/>
      <c r="G73" s="61"/>
      <c r="H73" s="61"/>
      <c r="I73" s="61"/>
      <c r="J73" s="61"/>
      <c r="K73" s="5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customFormat="false" ht="15" hidden="false" customHeight="false" outlineLevel="0" collapsed="false">
      <c r="A74" s="62"/>
      <c r="B74" s="58"/>
      <c r="C74" s="60" t="s">
        <v>48</v>
      </c>
      <c r="D74" s="61"/>
      <c r="E74" s="61"/>
      <c r="F74" s="61"/>
      <c r="G74" s="61"/>
      <c r="H74" s="61"/>
      <c r="I74" s="61"/>
      <c r="J74" s="61"/>
      <c r="K74" s="5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customFormat="false" ht="15.75" hidden="false" customHeight="true" outlineLevel="0" collapsed="false">
      <c r="A75" s="63"/>
      <c r="B75" s="58" t="s">
        <v>49</v>
      </c>
      <c r="C75" s="64" t="s">
        <v>50</v>
      </c>
      <c r="D75" s="65"/>
      <c r="E75" s="65"/>
      <c r="F75" s="65"/>
      <c r="G75" s="65"/>
      <c r="H75" s="65"/>
      <c r="I75" s="66"/>
      <c r="J75" s="67"/>
      <c r="K75" s="68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</row>
    <row r="76" customFormat="false" ht="15.75" hidden="false" customHeight="true" outlineLevel="0" collapsed="false">
      <c r="A76" s="63"/>
      <c r="B76" s="58"/>
      <c r="C76" s="64" t="s">
        <v>51</v>
      </c>
      <c r="D76" s="65"/>
      <c r="E76" s="65"/>
      <c r="F76" s="65"/>
      <c r="G76" s="65"/>
      <c r="H76" s="65"/>
      <c r="I76" s="66"/>
      <c r="J76" s="67"/>
      <c r="K76" s="68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</row>
    <row r="77" customFormat="false" ht="15.75" hidden="false" customHeight="true" outlineLevel="0" collapsed="false">
      <c r="A77" s="63"/>
      <c r="B77" s="58"/>
      <c r="C77" s="64" t="s">
        <v>52</v>
      </c>
      <c r="D77" s="65"/>
      <c r="E77" s="65"/>
      <c r="F77" s="65"/>
      <c r="G77" s="65"/>
      <c r="H77" s="65"/>
      <c r="I77" s="66"/>
      <c r="J77" s="67"/>
      <c r="K77" s="68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</row>
    <row r="78" customFormat="false" ht="15.75" hidden="false" customHeight="true" outlineLevel="0" collapsed="false">
      <c r="A78" s="63"/>
      <c r="B78" s="58"/>
      <c r="C78" s="64" t="s">
        <v>53</v>
      </c>
      <c r="D78" s="65"/>
      <c r="E78" s="65"/>
      <c r="F78" s="65"/>
      <c r="G78" s="65"/>
      <c r="H78" s="65"/>
      <c r="I78" s="66"/>
      <c r="J78" s="67"/>
      <c r="K78" s="68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</row>
    <row r="79" customFormat="false" ht="15" hidden="false" customHeight="false" outlineLevel="0" collapsed="false">
      <c r="A79" s="70"/>
      <c r="B79" s="58" t="s">
        <v>54</v>
      </c>
      <c r="C79" s="71" t="s">
        <v>55</v>
      </c>
      <c r="D79" s="72"/>
      <c r="E79" s="72"/>
      <c r="F79" s="72"/>
      <c r="G79" s="72"/>
      <c r="H79" s="72"/>
      <c r="I79" s="8"/>
      <c r="J79" s="7"/>
      <c r="K79" s="5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customFormat="false" ht="15.75" hidden="false" customHeight="true" outlineLevel="0" collapsed="false">
      <c r="A80" s="73"/>
      <c r="B80" s="72"/>
      <c r="C80" s="74" t="s">
        <v>56</v>
      </c>
      <c r="D80" s="75"/>
      <c r="E80" s="75"/>
      <c r="F80" s="75"/>
      <c r="G80" s="72"/>
      <c r="H80" s="72"/>
      <c r="I80" s="8"/>
      <c r="J80" s="7"/>
      <c r="K80" s="5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customFormat="false" ht="15.75" hidden="false" customHeight="true" outlineLevel="0" collapsed="false">
      <c r="A81" s="70"/>
      <c r="B81" s="76"/>
      <c r="C81" s="74" t="s">
        <v>57</v>
      </c>
      <c r="D81" s="75"/>
      <c r="E81" s="75"/>
      <c r="F81" s="75"/>
      <c r="G81" s="75"/>
      <c r="H81" s="75"/>
      <c r="I81" s="7"/>
      <c r="J81" s="7"/>
      <c r="K81" s="5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Format="false" ht="15.75" hidden="false" customHeight="true" outlineLevel="0" collapsed="false">
      <c r="A82" s="77"/>
      <c r="B82" s="72"/>
      <c r="C82" s="74" t="s">
        <v>58</v>
      </c>
      <c r="D82" s="75"/>
      <c r="E82" s="75"/>
      <c r="F82" s="75"/>
      <c r="G82" s="75"/>
      <c r="H82" s="75"/>
      <c r="I82" s="7"/>
      <c r="J82" s="7"/>
      <c r="K82" s="5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customFormat="false" ht="15.75" hidden="false" customHeight="true" outlineLevel="0" collapsed="false">
      <c r="A83" s="78"/>
      <c r="B83" s="72"/>
      <c r="C83" s="74" t="s">
        <v>59</v>
      </c>
      <c r="D83" s="75"/>
      <c r="E83" s="75"/>
      <c r="F83" s="75"/>
      <c r="G83" s="75"/>
      <c r="H83" s="75"/>
      <c r="I83" s="7"/>
      <c r="J83" s="7"/>
      <c r="K83" s="5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customFormat="false" ht="15.75" hidden="false" customHeight="true" outlineLevel="0" collapsed="false">
      <c r="A84" s="75"/>
      <c r="B84" s="72"/>
      <c r="C84" s="74" t="s">
        <v>60</v>
      </c>
      <c r="D84" s="75"/>
      <c r="E84" s="75"/>
      <c r="F84" s="75"/>
      <c r="G84" s="75"/>
      <c r="H84" s="75"/>
      <c r="I84" s="7"/>
      <c r="J84" s="7"/>
      <c r="K84" s="5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customFormat="false" ht="15.75" hidden="false" customHeight="true" outlineLevel="0" collapsed="false">
      <c r="A85" s="75"/>
      <c r="B85" s="72"/>
      <c r="C85" s="74" t="s">
        <v>61</v>
      </c>
      <c r="D85" s="75"/>
      <c r="E85" s="75"/>
      <c r="F85" s="75"/>
      <c r="G85" s="75"/>
      <c r="H85" s="75"/>
      <c r="I85" s="7"/>
      <c r="J85" s="7"/>
      <c r="K85" s="5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customFormat="false" ht="15.75" hidden="false" customHeight="true" outlineLevel="0" collapsed="false">
      <c r="A86" s="75"/>
      <c r="B86" s="5" t="s">
        <v>62</v>
      </c>
      <c r="C86" s="7"/>
      <c r="D86" s="7"/>
      <c r="E86" s="7"/>
      <c r="F86" s="7"/>
      <c r="G86" s="7"/>
      <c r="H86" s="7"/>
      <c r="I86" s="7"/>
      <c r="J86" s="7"/>
      <c r="K86" s="5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customFormat="false" ht="15.75" hidden="false" customHeight="true" outlineLevel="0" collapsed="false">
      <c r="A87" s="75"/>
      <c r="B87" s="79" t="s">
        <v>63</v>
      </c>
      <c r="E87" s="7"/>
      <c r="F87" s="7"/>
      <c r="G87" s="7"/>
      <c r="H87" s="7"/>
      <c r="I87" s="7"/>
      <c r="J87" s="7"/>
      <c r="K87" s="5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customFormat="false" ht="15.75" hidden="false" customHeight="true" outlineLevel="0" collapsed="false">
      <c r="A88" s="75"/>
      <c r="B88" s="5" t="s">
        <v>64</v>
      </c>
      <c r="C88" s="7"/>
      <c r="D88" s="7"/>
      <c r="E88" s="7"/>
      <c r="F88" s="7"/>
      <c r="G88" s="7"/>
      <c r="H88" s="7"/>
      <c r="I88" s="7"/>
      <c r="J88" s="7"/>
      <c r="K88" s="5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customFormat="false" ht="15.75" hidden="false" customHeight="true" outlineLevel="0" collapsed="false">
      <c r="A89" s="75"/>
      <c r="B89" s="7"/>
      <c r="C89" s="7"/>
      <c r="D89" s="7"/>
      <c r="E89" s="7"/>
      <c r="F89" s="7"/>
      <c r="G89" s="7"/>
      <c r="H89" s="7"/>
      <c r="I89" s="7"/>
      <c r="J89" s="7"/>
      <c r="K89" s="5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customFormat="false" ht="15.75" hidden="false" customHeight="true" outlineLevel="0" collapsed="false">
      <c r="A90" s="75"/>
      <c r="B90" s="57" t="s">
        <v>65</v>
      </c>
      <c r="D90" s="7"/>
      <c r="E90" s="7"/>
      <c r="F90" s="80" t="s">
        <v>66</v>
      </c>
      <c r="H90" s="7"/>
      <c r="I90" s="7"/>
      <c r="J90" s="7"/>
      <c r="K90" s="5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56"/>
      <c r="L91" s="4"/>
      <c r="M91" s="4"/>
      <c r="N91" s="4"/>
      <c r="O91" s="5" t="s">
        <v>67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5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5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5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5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customFormat="false" ht="15.75" hidden="false" customHeight="true" outlineLevel="0" collapsed="false">
      <c r="A96" s="7"/>
      <c r="B96" s="7"/>
      <c r="C96" s="7"/>
      <c r="D96" s="7"/>
      <c r="E96" s="7"/>
      <c r="F96" s="81"/>
      <c r="H96" s="7"/>
      <c r="I96" s="7"/>
      <c r="J96" s="7"/>
      <c r="K96" s="5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5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customFormat="false" ht="15.75" hidden="false" customHeight="true" outlineLevel="0" collapsed="false">
      <c r="A98" s="7"/>
      <c r="B98" s="7"/>
      <c r="C98" s="7"/>
      <c r="D98" s="7"/>
      <c r="E98" s="7"/>
      <c r="F98" s="82"/>
      <c r="H98" s="7"/>
      <c r="I98" s="7"/>
      <c r="J98" s="7"/>
      <c r="K98" s="5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5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5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5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5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5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5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5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5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5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5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5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5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5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5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5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5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5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5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5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5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5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5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5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5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5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5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5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5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5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5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5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5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5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5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5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5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5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5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5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5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5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5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5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5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5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5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5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5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5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5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5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5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5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5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5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5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5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5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5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5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5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5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5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5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5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5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5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5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5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5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5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5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5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5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5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5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5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5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5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5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5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5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5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5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5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5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5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5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5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5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5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5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5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5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5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5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5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5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5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5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5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5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5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5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5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5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5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5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5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5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5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5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5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5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5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5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5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5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5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5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5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5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5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5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5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5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5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5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5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5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5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5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5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5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5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5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5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5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5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5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5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5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5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5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5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5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5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5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5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5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5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5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5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5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5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5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5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5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5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5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5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5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5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5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5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5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5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5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5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5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5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5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5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5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5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5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5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5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5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5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5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5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5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5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5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5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5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5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5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5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5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5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5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customFormat="false" ht="15.75" hidden="false" customHeight="true" outlineLevel="0" collapsed="false">
      <c r="A292" s="7"/>
    </row>
    <row r="293" customFormat="false" ht="15.75" hidden="false" customHeight="true" outlineLevel="0" collapsed="false">
      <c r="A293" s="7"/>
    </row>
    <row r="294" customFormat="false" ht="15.75" hidden="false" customHeight="true" outlineLevel="0" collapsed="false">
      <c r="A294" s="7"/>
    </row>
    <row r="295" customFormat="false" ht="15.75" hidden="false" customHeight="true" outlineLevel="0" collapsed="false">
      <c r="A295" s="7"/>
    </row>
    <row r="296" customFormat="false" ht="15.75" hidden="false" customHeight="true" outlineLevel="0" collapsed="false">
      <c r="A296" s="7"/>
    </row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</sheetData>
  <mergeCells count="1">
    <mergeCell ref="C3:J3"/>
  </mergeCells>
  <printOptions headings="false" gridLines="false" gridLinesSet="true" horizontalCentered="true" verticalCentered="false"/>
  <pageMargins left="0.28125" right="0" top="0.179861111111111" bottom="0.1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2026-03-16T04:49:25Z</dcterms:created>
  <dc:creator>Administrator</dc:creator>
  <dc:description/>
  <dc:language>vi-VN</dc:language>
  <cp:lastModifiedBy/>
  <dcterms:modified xsi:type="dcterms:W3CDTF">2026-04-09T09:33:39Z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